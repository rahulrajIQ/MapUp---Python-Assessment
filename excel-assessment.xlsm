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aazx\OneDrive\Desktop\MapUp-Python-Assessment\"/>
    </mc:Choice>
  </mc:AlternateContent>
  <xr:revisionPtr revIDLastSave="0" documentId="13_ncr:1_{9DE22027-B7A9-4186-A6C7-07DD895D3E62}" xr6:coauthVersionLast="47" xr6:coauthVersionMax="47" xr10:uidLastSave="{00000000-0000-0000-0000-000000000000}"/>
  <bookViews>
    <workbookView xWindow="828" yWindow="-108" windowWidth="22320" windowHeight="13176" tabRatio="849" activeTab="5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_xlnm._FilterDatabase" localSheetId="4" hidden="1">Task_3!$A$15:$F$54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B6" i="19" l="1"/>
  <c r="C22" i="19"/>
  <c r="C30" i="18"/>
  <c r="D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26" i="18"/>
  <c r="B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C5" i="15"/>
  <c r="B4" i="20"/>
  <c r="C23" i="20"/>
  <c r="C34" i="20"/>
  <c r="C35" i="20"/>
  <c r="C33" i="20"/>
  <c r="C32" i="20"/>
  <c r="C31" i="20"/>
  <c r="C30" i="20"/>
  <c r="C29" i="20"/>
  <c r="C28" i="20"/>
  <c r="C27" i="20"/>
  <c r="C26" i="20"/>
  <c r="C25" i="20"/>
  <c r="C24" i="20"/>
</calcChain>
</file>

<file path=xl/sharedStrings.xml><?xml version="1.0" encoding="utf-8"?>
<sst xmlns="http://schemas.openxmlformats.org/spreadsheetml/2006/main" count="402" uniqueCount="179">
  <si>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</si>
  <si>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</si>
  <si>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</si>
  <si>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</si>
  <si>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</si>
  <si>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</si>
  <si>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</si>
  <si>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</si>
  <si>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</si>
  <si>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</si>
  <si>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</si>
  <si>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</si>
  <si>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</si>
  <si>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</si>
  <si>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</si>
  <si>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</si>
  <si>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</si>
  <si>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</si>
  <si>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</si>
  <si>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</si>
  <si>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</si>
  <si>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</si>
  <si>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</si>
  <si>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</si>
  <si>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</si>
  <si>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</si>
  <si>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</si>
  <si>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</si>
  <si>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</si>
  <si>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</si>
  <si>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</si>
  <si>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</si>
  <si>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</si>
  <si>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</si>
  <si>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</si>
  <si>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</si>
  <si>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</si>
  <si>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</si>
  <si>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</si>
  <si>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</si>
  <si>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</si>
  <si>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</si>
  <si>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</si>
  <si>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</si>
  <si>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</si>
  <si>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</si>
  <si>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</si>
  <si>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</si>
  <si>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</si>
  <si>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</si>
  <si>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</si>
  <si>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</si>
  <si>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</si>
  <si>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</si>
  <si>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</si>
  <si>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</si>
  <si>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</si>
  <si>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</si>
  <si>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</si>
  <si>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</si>
  <si>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</si>
  <si>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</si>
  <si>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</si>
  <si>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</si>
  <si>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</si>
  <si>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</si>
  <si>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</si>
  <si>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</si>
  <si>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</si>
  <si>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</si>
  <si>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</si>
  <si>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</si>
  <si>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</si>
  <si>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</si>
  <si>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</si>
  <si>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</si>
  <si>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</si>
  <si>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</si>
  <si>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</si>
  <si>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</si>
  <si>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</si>
  <si>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</si>
  <si>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</si>
  <si>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</si>
  <si>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</si>
  <si>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</si>
  <si>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</si>
  <si>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</si>
  <si>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</si>
  <si>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</si>
  <si>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</si>
  <si>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</si>
  <si>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</si>
  <si>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</si>
  <si>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</si>
  <si>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</si>
  <si>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</si>
  <si>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</si>
  <si>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</si>
  <si>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</si>
  <si>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</si>
  <si>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</si>
  <si>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</si>
  <si>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</si>
  <si>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</si>
  <si>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</si>
  <si>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</si>
  <si>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</si>
  <si>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</si>
  <si>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</si>
  <si>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</si>
  <si>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</si>
  <si>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</si>
  <si>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</si>
  <si>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</si>
  <si>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</si>
  <si>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</si>
  <si>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</si>
  <si>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</si>
  <si>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</si>
  <si>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</si>
  <si>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</si>
  <si>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</si>
  <si>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</si>
  <si>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</si>
  <si>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</si>
  <si>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</si>
  <si>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</si>
  <si>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</si>
  <si>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</si>
  <si>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</si>
  <si>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</si>
  <si>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</si>
  <si>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</si>
  <si>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</si>
  <si>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</si>
  <si>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</si>
  <si>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</si>
  <si>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</si>
  <si>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</si>
  <si>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</si>
  <si>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</si>
  <si>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</si>
  <si>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</si>
  <si>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</si>
  <si>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</si>
  <si>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</si>
  <si>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</si>
  <si>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</si>
  <si>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</si>
  <si>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</si>
  <si>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</si>
  <si>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</si>
  <si>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</si>
  <si>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</si>
  <si>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</si>
  <si>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</si>
  <si>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</si>
  <si>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</si>
  <si>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</si>
  <si>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</si>
  <si>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</si>
  <si>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</si>
  <si>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</si>
  <si>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</si>
  <si>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</si>
  <si>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</si>
  <si>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</si>
  <si>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</si>
  <si>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</si>
  <si>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</si>
  <si>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</si>
  <si>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</si>
  <si>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</si>
  <si>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</si>
  <si>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</si>
  <si>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</si>
  <si>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 over all values ignoring null values, then taking the count of null values, multiplying the count with 20, then adding up to the result.</t>
  </si>
  <si>
    <t>We got the alphabet name from table B using vlookup. Then we matched the alphabet with Table A's indexes and headers, to find the row_number and col_number. Once we got row and col, we used the adreess function to get the value in the cell.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</si>
</sst>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7" fillId="0" borderId="0" xfId="0" applyNumberFormat="1" applyFont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M1" zoomScaleNormal="100" workbookViewId="0">
      <pane ySplit="1" topLeftCell="A20" activePane="bottomLeft" state="frozen"/>
      <selection pane="bottomLeft" activeCell="I31" sqref="I3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5" priority="6"/>
  </conditionalFormatting>
  <conditionalFormatting sqref="B1:B1048576">
    <cfRule type="duplicateValues" dxfId="4" priority="5"/>
  </conditionalFormatting>
  <conditionalFormatting sqref="A1">
    <cfRule type="cellIs" dxfId="3" priority="4" operator="equal">
      <formula>-1</formula>
    </cfRule>
  </conditionalFormatting>
  <conditionalFormatting sqref="J3">
    <cfRule type="cellIs" dxfId="2" priority="3" operator="equal">
      <formula>-1</formula>
    </cfRule>
  </conditionalFormatting>
  <conditionalFormatting sqref="A1:X40">
    <cfRule type="cellIs" dxfId="1" priority="2" operator="equal">
      <formula>-1</formula>
    </cfRule>
  </conditionalFormatting>
  <conditionalFormatting sqref="G1:W1048576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25" sqref="B2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>
        <f>SUMIF(Dataset!H2:H40, "&gt;20",Dataset!H2:H40)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G29" sqref="G29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VLOOKUP(A6,Dataset!A2:G40,7,FALSE)</f>
        <v>2.7</v>
      </c>
      <c r="C6" s="12">
        <f>VLOOKUP(A6,Dataset!A2:N40,14,FALSE)</f>
        <v>7.6</v>
      </c>
      <c r="D6" s="12">
        <f>VLOOKUP(A6,Dataset!A2:R40,18,FALSE)</f>
        <v>4.2</v>
      </c>
      <c r="E6" s="12">
        <f>VLOOKUP(A6,Dataset!A2:T40,20,FALSE)</f>
        <v>8.9</v>
      </c>
      <c r="F6" s="8">
        <f>VLOOKUP(A6,Dataset!A2:V40,22,FALSE)</f>
        <v>4.2</v>
      </c>
    </row>
    <row r="7" spans="1:7" ht="14.4" x14ac:dyDescent="0.3">
      <c r="A7" s="7" t="s">
        <v>4</v>
      </c>
      <c r="B7" s="12">
        <f>VLOOKUP(A7,Dataset!A3:G41,7,FALSE)</f>
        <v>2.7</v>
      </c>
      <c r="C7" s="12">
        <f>VLOOKUP(A7,Dataset!A3:N41,14,FALSE)</f>
        <v>7.6</v>
      </c>
      <c r="D7" s="12">
        <f>VLOOKUP(A7,Dataset!A3:R41,18,FALSE)</f>
        <v>4.2</v>
      </c>
      <c r="E7" s="12">
        <f>VLOOKUP(A7,Dataset!A3:T41,20,FALSE)</f>
        <v>8.9</v>
      </c>
      <c r="F7" s="8">
        <f>VLOOKUP(A7,Dataset!A3:V41,22,FALSE)</f>
        <v>4.2</v>
      </c>
    </row>
    <row r="8" spans="1:7" ht="14.4" x14ac:dyDescent="0.3">
      <c r="A8" s="7" t="s">
        <v>7</v>
      </c>
      <c r="B8" s="12">
        <f>VLOOKUP(A8,Dataset!A4:G42,7,FALSE)</f>
        <v>3.6</v>
      </c>
      <c r="C8" s="12">
        <f>VLOOKUP(A8,Dataset!A4:N42,14,FALSE)</f>
        <v>11.1</v>
      </c>
      <c r="D8" s="12">
        <f>VLOOKUP(A8,Dataset!A4:R42,18,FALSE)</f>
        <v>5.8</v>
      </c>
      <c r="E8" s="12">
        <f>VLOOKUP(A8,Dataset!A4:T42,20,FALSE)</f>
        <v>12.2</v>
      </c>
      <c r="F8" s="8">
        <f>VLOOKUP(A8,Dataset!A4:V42,22,FALSE)</f>
        <v>5.8</v>
      </c>
    </row>
    <row r="9" spans="1:7" ht="14.4" x14ac:dyDescent="0.3">
      <c r="A9" s="7" t="s">
        <v>8</v>
      </c>
      <c r="B9" s="12">
        <f>VLOOKUP(A9,Dataset!A5:G43,7,FALSE)</f>
        <v>4.9000000000000004</v>
      </c>
      <c r="C9" s="12">
        <f>VLOOKUP(A9,Dataset!A5:N43,14,FALSE)</f>
        <v>13.3</v>
      </c>
      <c r="D9" s="12">
        <f>VLOOKUP(A9,Dataset!A5:R43,18,FALSE)</f>
        <v>8.1</v>
      </c>
      <c r="E9" s="12">
        <f>VLOOKUP(A9,Dataset!A5:T43,20,FALSE)</f>
        <v>17</v>
      </c>
      <c r="F9" s="8">
        <f>VLOOKUP(A9,Dataset!A5:V43,22,FALSE)</f>
        <v>8.1</v>
      </c>
    </row>
    <row r="10" spans="1:7" ht="14.4" x14ac:dyDescent="0.3">
      <c r="A10" s="7" t="s">
        <v>11</v>
      </c>
      <c r="B10" s="12">
        <f>VLOOKUP(A10,Dataset!A6:G44,7,FALSE)</f>
        <v>9.4</v>
      </c>
      <c r="C10" s="12">
        <f>VLOOKUP(A10,Dataset!A6:N44,14,FALSE)</f>
        <v>28.3</v>
      </c>
      <c r="D10" s="12">
        <f>VLOOKUP(A10,Dataset!A6:R44,18,FALSE)</f>
        <v>16.100000000000001</v>
      </c>
      <c r="E10" s="12">
        <f>VLOOKUP(A10,Dataset!A6:T44,20,FALSE)</f>
        <v>32.799999999999997</v>
      </c>
      <c r="F10" s="8">
        <f>VLOOKUP(A10,Dataset!A6:V44,22,FALSE)</f>
        <v>16.100000000000001</v>
      </c>
    </row>
    <row r="11" spans="1:7" ht="14.4" x14ac:dyDescent="0.3">
      <c r="A11" s="7" t="s">
        <v>12</v>
      </c>
      <c r="B11" s="12">
        <f>VLOOKUP(A11,Dataset!A7:G45,7,FALSE)</f>
        <v>11.6</v>
      </c>
      <c r="C11" s="12">
        <f>VLOOKUP(A11,Dataset!A7:N45,14,FALSE)</f>
        <v>35.200000000000003</v>
      </c>
      <c r="D11" s="12">
        <f>VLOOKUP(A11,Dataset!A7:R45,18,FALSE)</f>
        <v>21.3</v>
      </c>
      <c r="E11" s="12">
        <f>VLOOKUP(A11,Dataset!A7:T45,20,FALSE)</f>
        <v>43</v>
      </c>
      <c r="F11" s="8">
        <f>VLOOKUP(A11,Dataset!A7:V45,22,FALSE)</f>
        <v>21.3</v>
      </c>
    </row>
    <row r="12" spans="1:7" ht="14.4" x14ac:dyDescent="0.3">
      <c r="A12" s="7" t="s">
        <v>14</v>
      </c>
      <c r="B12" s="12">
        <f>VLOOKUP(A12,Dataset!A8:G46,7,FALSE)</f>
        <v>18.399999999999999</v>
      </c>
      <c r="C12" s="12">
        <f>VLOOKUP(A12,Dataset!A8:N46,14,FALSE)</f>
        <v>55.6</v>
      </c>
      <c r="D12" s="12">
        <f>VLOOKUP(A12,Dataset!A8:R46,18,FALSE)</f>
        <v>33.799999999999997</v>
      </c>
      <c r="E12" s="12">
        <f>VLOOKUP(A12,Dataset!A8:T46,20,FALSE)</f>
        <v>67.900000000000006</v>
      </c>
      <c r="F12" s="8">
        <f>VLOOKUP(A12,Dataset!A8:V46,22,FALSE)</f>
        <v>33.799999999999997</v>
      </c>
    </row>
    <row r="13" spans="1:7" ht="14.4" x14ac:dyDescent="0.3">
      <c r="A13" s="7" t="s">
        <v>15</v>
      </c>
      <c r="B13" s="12">
        <f>VLOOKUP(A13,Dataset!A9:G47,7,FALSE)</f>
        <v>0</v>
      </c>
      <c r="C13" s="12">
        <f>VLOOKUP(A13,Dataset!A9:N47,14,FALSE)</f>
        <v>0</v>
      </c>
      <c r="D13" s="12">
        <f>VLOOKUP(A13,Dataset!A9:R47,18,FALSE)</f>
        <v>0</v>
      </c>
      <c r="E13" s="12">
        <f>VLOOKUP(A13,Dataset!A9:T47,20,FALSE)</f>
        <v>0</v>
      </c>
      <c r="F13" s="8">
        <f>VLOOKUP(A13,Dataset!A9:V47,22,FALSE)</f>
        <v>0</v>
      </c>
    </row>
    <row r="14" spans="1:7" ht="14.4" x14ac:dyDescent="0.3">
      <c r="A14" s="7" t="s">
        <v>16</v>
      </c>
      <c r="B14" s="12">
        <f>VLOOKUP(A14,Dataset!A10:G48,7,FALSE)</f>
        <v>21.9</v>
      </c>
      <c r="C14" s="12">
        <f>VLOOKUP(A14,Dataset!A10:N48,14,FALSE)</f>
        <v>61.5</v>
      </c>
      <c r="D14" s="12">
        <f>VLOOKUP(A14,Dataset!A10:R48,18,FALSE)</f>
        <v>40.1</v>
      </c>
      <c r="E14" s="12">
        <f>VLOOKUP(A14,Dataset!A10:T48,20,FALSE)</f>
        <v>76.599999999999994</v>
      </c>
      <c r="F14" s="8">
        <f>VLOOKUP(A14,Dataset!A10:V48,22,FALSE)</f>
        <v>40.1</v>
      </c>
    </row>
    <row r="15" spans="1:7" ht="14.4" x14ac:dyDescent="0.3">
      <c r="A15" s="7" t="s">
        <v>18</v>
      </c>
      <c r="B15" s="12">
        <f>VLOOKUP(A15,Dataset!A11:G49,7,FALSE)</f>
        <v>26.8</v>
      </c>
      <c r="C15" s="12">
        <f>VLOOKUP(A15,Dataset!A11:N49,14,FALSE)</f>
        <v>79.599999999999994</v>
      </c>
      <c r="D15" s="12">
        <f>VLOOKUP(A15,Dataset!A11:R49,18,FALSE)</f>
        <v>47.9</v>
      </c>
      <c r="E15" s="12">
        <f>VLOOKUP(A15,Dataset!A11:T49,20,FALSE)</f>
        <v>96.8</v>
      </c>
      <c r="F15" s="8">
        <f>VLOOKUP(A15,Dataset!A11:V49,22,FALSE)</f>
        <v>47.9</v>
      </c>
    </row>
    <row r="16" spans="1:7" ht="14.4" x14ac:dyDescent="0.3">
      <c r="A16" s="7" t="s">
        <v>20</v>
      </c>
      <c r="B16" s="12">
        <f>VLOOKUP(A16,Dataset!A12:G50,7,FALSE)</f>
        <v>28.5</v>
      </c>
      <c r="C16" s="12">
        <f>VLOOKUP(A16,Dataset!A12:N50,14,FALSE)</f>
        <v>85.4</v>
      </c>
      <c r="D16" s="12">
        <f>VLOOKUP(A16,Dataset!A12:R50,18,FALSE)</f>
        <v>52.3</v>
      </c>
      <c r="E16" s="12">
        <f>VLOOKUP(A16,Dataset!A12:T50,20,FALSE)</f>
        <v>106.1</v>
      </c>
      <c r="F16" s="8">
        <f>VLOOKUP(A16,Dataset!A12:V50,22,FALSE)</f>
        <v>52.3</v>
      </c>
    </row>
    <row r="17" spans="1:6" ht="14.4" x14ac:dyDescent="0.3">
      <c r="A17" s="7" t="s">
        <v>22</v>
      </c>
      <c r="B17" s="12">
        <f>VLOOKUP(A17,Dataset!A13:G51,7,FALSE)</f>
        <v>30.7</v>
      </c>
      <c r="C17" s="12">
        <f>VLOOKUP(A17,Dataset!A13:N51,14,FALSE)</f>
        <v>92.1</v>
      </c>
      <c r="D17" s="12">
        <f>VLOOKUP(A17,Dataset!A13:R51,18,FALSE)</f>
        <v>57</v>
      </c>
      <c r="E17" s="12">
        <f>VLOOKUP(A17,Dataset!A13:T51,20,FALSE)</f>
        <v>115.1</v>
      </c>
      <c r="F17" s="8">
        <f>VLOOKUP(A17,Dataset!A13:V51,22,FALSE)</f>
        <v>57</v>
      </c>
    </row>
    <row r="18" spans="1:6" ht="14.4" x14ac:dyDescent="0.3">
      <c r="A18" s="7" t="s">
        <v>23</v>
      </c>
      <c r="B18" s="12">
        <f>VLOOKUP(A18,Dataset!A14:G52,7,FALSE)</f>
        <v>33.799999999999997</v>
      </c>
      <c r="C18" s="12">
        <f>VLOOKUP(A18,Dataset!A14:N52,14,FALSE)</f>
        <v>101.3</v>
      </c>
      <c r="D18" s="12">
        <f>VLOOKUP(A18,Dataset!A14:R52,18,FALSE)</f>
        <v>61.4</v>
      </c>
      <c r="E18" s="12">
        <f>VLOOKUP(A18,Dataset!A14:T52,20,FALSE)</f>
        <v>124.4</v>
      </c>
      <c r="F18" s="8">
        <f>VLOOKUP(A18,Dataset!A14:V52,22,FALSE)</f>
        <v>61.4</v>
      </c>
    </row>
    <row r="19" spans="1:6" ht="14.4" x14ac:dyDescent="0.3">
      <c r="A19" s="7" t="s">
        <v>24</v>
      </c>
      <c r="B19" s="12">
        <f>VLOOKUP(A19,Dataset!A15:G53,7,FALSE)</f>
        <v>34.700000000000003</v>
      </c>
      <c r="C19" s="12">
        <f>VLOOKUP(A19,Dataset!A15:N53,14,FALSE)</f>
        <v>106.1</v>
      </c>
      <c r="D19" s="12">
        <f>VLOOKUP(A19,Dataset!A15:R53,18,FALSE)</f>
        <v>63.6</v>
      </c>
      <c r="E19" s="12">
        <f>VLOOKUP(A19,Dataset!A15:T53,20,FALSE)</f>
        <v>128.6</v>
      </c>
      <c r="F19" s="8">
        <f>VLOOKUP(A19,Dataset!A15:V53,22,FALSE)</f>
        <v>63.6</v>
      </c>
    </row>
    <row r="20" spans="1:6" ht="14.4" x14ac:dyDescent="0.3">
      <c r="A20" s="7" t="s">
        <v>28</v>
      </c>
      <c r="B20" s="12">
        <f>VLOOKUP(A20,Dataset!A16:G54,7,FALSE)</f>
        <v>0</v>
      </c>
      <c r="C20" s="12">
        <f>VLOOKUP(A20,Dataset!A16:N54,14,FALSE)</f>
        <v>0</v>
      </c>
      <c r="D20" s="12">
        <f>VLOOKUP(A20,Dataset!A16:R54,18,FALSE)</f>
        <v>0</v>
      </c>
      <c r="E20" s="12">
        <f>VLOOKUP(A20,Dataset!A16:T54,20,FALSE)</f>
        <v>0</v>
      </c>
      <c r="F20" s="8">
        <f>VLOOKUP(A20,Dataset!A16:V54,22,FALSE)</f>
        <v>0</v>
      </c>
    </row>
    <row r="21" spans="1:6" ht="14.4" x14ac:dyDescent="0.3">
      <c r="A21" s="7" t="s">
        <v>57</v>
      </c>
      <c r="B21" s="12">
        <f>VLOOKUP(A21,Dataset!A17:G55,7,FALSE)</f>
        <v>41.3</v>
      </c>
      <c r="C21" s="12">
        <f>VLOOKUP(A21,Dataset!A17:N55,14,FALSE)</f>
        <v>124.4</v>
      </c>
      <c r="D21" s="12">
        <f>VLOOKUP(A21,Dataset!A17:R55,18,FALSE)</f>
        <v>75</v>
      </c>
      <c r="E21" s="12">
        <f>VLOOKUP(A21,Dataset!A17:T55,20,FALSE)</f>
        <v>151.5</v>
      </c>
      <c r="F21" s="8">
        <f>VLOOKUP(A21,Dataset!A17:V55,22,FALSE)</f>
        <v>75</v>
      </c>
    </row>
    <row r="22" spans="1:6" ht="14.4" x14ac:dyDescent="0.3">
      <c r="A22" s="7" t="s">
        <v>58</v>
      </c>
      <c r="B22" s="12">
        <f>VLOOKUP(A22,Dataset!A18:G56,7,FALSE)</f>
        <v>-1</v>
      </c>
      <c r="C22" s="12">
        <f>VLOOKUP(A22,Dataset!A18:N56,14,FALSE)</f>
        <v>-1</v>
      </c>
      <c r="D22" s="12">
        <f>VLOOKUP(A22,Dataset!A18:R56,18,FALSE)</f>
        <v>-1</v>
      </c>
      <c r="E22" s="12">
        <f>VLOOKUP(A22,Dataset!A18:T56,20,FALSE)</f>
        <v>-1</v>
      </c>
      <c r="F22" s="8">
        <f>VLOOKUP(A22,Dataset!A18:V56,22,FALSE)</f>
        <v>-1</v>
      </c>
    </row>
    <row r="23" spans="1:6" ht="14.4" x14ac:dyDescent="0.3">
      <c r="A23" s="7" t="s">
        <v>31</v>
      </c>
      <c r="B23" s="12">
        <f>VLOOKUP(A23,Dataset!A19:G57,7,FALSE)</f>
        <v>45</v>
      </c>
      <c r="C23" s="12">
        <f>VLOOKUP(A23,Dataset!A19:N57,14,FALSE)</f>
        <v>133.4</v>
      </c>
      <c r="D23" s="12">
        <f>VLOOKUP(A23,Dataset!A19:R57,18,FALSE)</f>
        <v>79.400000000000006</v>
      </c>
      <c r="E23" s="12">
        <f>VLOOKUP(A23,Dataset!A19:T57,20,FALSE)</f>
        <v>160.9</v>
      </c>
      <c r="F23" s="8">
        <f>VLOOKUP(A23,Dataset!A19:V57,22,FALSE)</f>
        <v>79.400000000000006</v>
      </c>
    </row>
    <row r="24" spans="1:6" ht="14.4" x14ac:dyDescent="0.3">
      <c r="A24" s="7" t="s">
        <v>32</v>
      </c>
      <c r="B24" s="12">
        <f>VLOOKUP(A24,Dataset!A20:G58,7,FALSE)</f>
        <v>-1</v>
      </c>
      <c r="C24" s="12">
        <f>VLOOKUP(A24,Dataset!A20:N58,14,FALSE)</f>
        <v>-1</v>
      </c>
      <c r="D24" s="12">
        <f>VLOOKUP(A24,Dataset!A20:R58,18,FALSE)</f>
        <v>-1</v>
      </c>
      <c r="E24" s="12">
        <f>VLOOKUP(A24,Dataset!A20:T58,20,FALSE)</f>
        <v>-1</v>
      </c>
      <c r="F24" s="8">
        <f>VLOOKUP(A24,Dataset!A20:V58,22,FALSE)</f>
        <v>-1</v>
      </c>
    </row>
    <row r="25" spans="1:6" ht="14.4" x14ac:dyDescent="0.3">
      <c r="A25" s="7" t="s">
        <v>34</v>
      </c>
      <c r="B25" s="12">
        <f>VLOOKUP(A25,Dataset!A21:G59,7,FALSE)</f>
        <v>43.3</v>
      </c>
      <c r="C25" s="12">
        <f>VLOOKUP(A25,Dataset!A21:N59,14,FALSE)</f>
        <v>128.6</v>
      </c>
      <c r="D25" s="12">
        <f>VLOOKUP(A25,Dataset!A21:R59,18,FALSE)</f>
        <v>79.400000000000006</v>
      </c>
      <c r="E25" s="12">
        <f>VLOOKUP(A25,Dataset!A21:T59,20,FALSE)</f>
        <v>160.9</v>
      </c>
      <c r="F25" s="8">
        <f>VLOOKUP(A25,Dataset!A21:V59,22,FALSE)</f>
        <v>79.400000000000006</v>
      </c>
    </row>
    <row r="26" spans="1:6" ht="14.4" x14ac:dyDescent="0.3">
      <c r="A26" s="7" t="s">
        <v>37</v>
      </c>
      <c r="B26" s="12">
        <f>VLOOKUP(A26,Dataset!A22:G60,7,FALSE)</f>
        <v>49.1</v>
      </c>
      <c r="C26" s="12">
        <f>VLOOKUP(A26,Dataset!A22:N60,14,FALSE)</f>
        <v>146.80000000000001</v>
      </c>
      <c r="D26" s="12">
        <f>VLOOKUP(A26,Dataset!A22:R60,18,FALSE)</f>
        <v>90.9</v>
      </c>
      <c r="E26" s="12">
        <f>VLOOKUP(A26,Dataset!A22:T60,20,FALSE)</f>
        <v>183.5</v>
      </c>
      <c r="F26" s="8">
        <f>VLOOKUP(A26,Dataset!A22:V60,22,FALSE)</f>
        <v>90.9</v>
      </c>
    </row>
    <row r="27" spans="1:6" ht="14.4" x14ac:dyDescent="0.3">
      <c r="A27" s="7" t="s">
        <v>39</v>
      </c>
      <c r="B27" s="12">
        <f>VLOOKUP(A27,Dataset!A23:G61,7,FALSE)</f>
        <v>51.8</v>
      </c>
      <c r="C27" s="12">
        <f>VLOOKUP(A27,Dataset!A23:N61,14,FALSE)</f>
        <v>156.4</v>
      </c>
      <c r="D27" s="12">
        <f>VLOOKUP(A27,Dataset!A23:R61,18,FALSE)</f>
        <v>93.1</v>
      </c>
      <c r="E27" s="12">
        <f>VLOOKUP(A27,Dataset!A23:T61,20,FALSE)</f>
        <v>188.1</v>
      </c>
      <c r="F27" s="8">
        <f>VLOOKUP(A27,Dataset!A23:V61,22,FALSE)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9" zoomScaleNormal="100" workbookViewId="0">
      <selection activeCell="G35" sqref="G35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153</v>
      </c>
      <c r="B6" s="40"/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3"/>
  <sheetViews>
    <sheetView tabSelected="1" zoomScaleNormal="100" workbookViewId="0">
      <selection activeCell="F12" sqref="F1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167</v>
      </c>
    </row>
    <row r="2" spans="1:3" ht="18" x14ac:dyDescent="0.35">
      <c r="B2" s="40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>
        <f>SUMIF(C12:C21,"&lt;&gt;#N/A")+COUNTIF(C12:C21,"#N/A") * 20</f>
        <v>600</v>
      </c>
    </row>
    <row r="7" spans="1:3" ht="14.4" x14ac:dyDescent="0.3">
      <c r="A7" s="3" t="s">
        <v>153</v>
      </c>
      <c r="B7" s="1" t="s">
        <v>177</v>
      </c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 t="e">
        <v>#N/A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>
        <f>SUMIF(C12:C21,"&lt;&gt;#N/A")+COUNTIF(C12:C21,"#N/A") * 20</f>
        <v>600</v>
      </c>
    </row>
    <row r="23" spans="1:3" x14ac:dyDescent="0.3">
      <c r="C23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G8" sqref="G8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>
        <f ca="1">INDIRECT(ADDRESS(CELL("row",INDEX(A10:A18,MATCH(VLOOKUP(A23,M10:N18,2),A10:A18,1))),CELL("col",INDEX(B9:J9,MATCH(VLOOKUP(B23,M10:N18,2),B9:J9,1)))))</f>
        <v>95</v>
      </c>
    </row>
    <row r="5" spans="1:14" ht="18" x14ac:dyDescent="0.35">
      <c r="A5" s="43" t="s">
        <v>153</v>
      </c>
      <c r="B5" s="1" t="s">
        <v>178</v>
      </c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f ca="1">INDIRECT(ADDRESS(CELL("row",INDEX(A10:A18,MATCH(VLOOKUP(A23,M10:N18,2),A10:A18,1))),CELL("col",INDEX(B9:J9,MATCH(VLOOKUP(B23,M10:N18,2),B9:J9,1)))))</f>
        <v>95</v>
      </c>
      <c r="D23" s="44"/>
    </row>
    <row r="24" spans="1:14" ht="14.4" x14ac:dyDescent="0.3">
      <c r="A24" s="7">
        <v>10100</v>
      </c>
      <c r="B24" s="12">
        <v>10104</v>
      </c>
      <c r="C24" s="44">
        <f ca="1">INDIRECT(ADDRESS(CELL("row",INDEX(A10:A18,MATCH(VLOOKUP(A24,M10:N18,2),A10:A18,1))),CELL("col",INDEX(B9:J9,MATCH(VLOOKUP(B24,M10:N18,2),B9:J9,1)))))</f>
        <v>-1</v>
      </c>
    </row>
    <row r="25" spans="1:14" ht="14.4" x14ac:dyDescent="0.3">
      <c r="A25" s="7">
        <v>10108</v>
      </c>
      <c r="B25" s="12">
        <v>10102</v>
      </c>
      <c r="C25" s="44">
        <f ca="1">INDIRECT(ADDRESS(CELL("row",INDEX(A10:A18,MATCH(VLOOKUP(A25,M10:N18,2),A10:A18,1))),CELL("col",INDEX(B9:J9,MATCH(VLOOKUP(B25,M10:N18,2),B9:J9,1)))))</f>
        <v>160</v>
      </c>
    </row>
    <row r="26" spans="1:14" ht="14.4" x14ac:dyDescent="0.3">
      <c r="A26" s="7">
        <v>10100</v>
      </c>
      <c r="B26" s="12">
        <v>10106</v>
      </c>
      <c r="C26" s="44">
        <f ca="1">INDIRECT(ADDRESS(CELL("row",INDEX(A10:A18,MATCH(VLOOKUP(A26,M10:N18,2),A10:A18,1))),CELL("col",INDEX(B9:J9,MATCH(VLOOKUP(B26,M10:N18,2),B9:J9,1)))))</f>
        <v>185</v>
      </c>
    </row>
    <row r="27" spans="1:14" ht="14.4" x14ac:dyDescent="0.3">
      <c r="A27" s="7">
        <v>10108</v>
      </c>
      <c r="B27" s="12">
        <v>10110</v>
      </c>
      <c r="C27" s="44">
        <f ca="1">INDIRECT(ADDRESS(CELL("row",INDEX(A10:A18,MATCH(VLOOKUP(A27,M10:N18,2),A10:A18,1))),CELL("col",INDEX(B9:J9,MATCH(VLOOKUP(B27,M10:N18,2),B9:J9,1)))))</f>
        <v>50</v>
      </c>
    </row>
    <row r="28" spans="1:14" ht="14.4" x14ac:dyDescent="0.3">
      <c r="A28" s="7">
        <v>10102</v>
      </c>
      <c r="B28" s="12">
        <v>10104</v>
      </c>
      <c r="C28" s="44">
        <f ca="1">INDIRECT(ADDRESS(CELL("row",INDEX(A10:A18,MATCH(VLOOKUP(A28,M10:N18,2),A10:A18,1))),CELL("col",INDEX(B9:J9,MATCH(VLOOKUP(B28,M10:N18,2),B9:J9,1)))))</f>
        <v>-1</v>
      </c>
    </row>
    <row r="29" spans="1:14" ht="14.4" x14ac:dyDescent="0.3">
      <c r="A29" s="7">
        <v>10106</v>
      </c>
      <c r="B29" s="12">
        <v>10108</v>
      </c>
      <c r="C29" s="44">
        <f ca="1">INDIRECT(ADDRESS(CELL("row",INDEX(A10:A18,MATCH(VLOOKUP(A29,M10:N18,2),A10:A18,1))),CELL("col",INDEX(B9:J9,MATCH(VLOOKUP(B29,M10:N18,2),B9:J9,1)))))</f>
        <v>70</v>
      </c>
    </row>
    <row r="30" spans="1:14" ht="14.4" x14ac:dyDescent="0.3">
      <c r="A30" s="7">
        <v>10102</v>
      </c>
      <c r="B30" s="12">
        <v>10106</v>
      </c>
      <c r="C30" s="44">
        <f ca="1">INDIRECT(ADDRESS(CELL("row",INDEX(A10:A18,MATCH(VLOOKUP(A30,M10:N18,2),A10:A18,1))),CELL("col",INDEX(B9:J9,MATCH(VLOOKUP(B30,M10:N18,2),B9:J9,1)))))</f>
        <v>90</v>
      </c>
    </row>
    <row r="31" spans="1:14" ht="14.4" x14ac:dyDescent="0.3">
      <c r="A31" s="7">
        <v>10110</v>
      </c>
      <c r="B31" s="12">
        <v>10114</v>
      </c>
      <c r="C31" s="44">
        <f ca="1">INDIRECT(ADDRESS(CELL("row",INDEX(A10:A18,MATCH(VLOOKUP(A31,M10:N18,2),A10:A18,1))),CELL("col",INDEX(B9:J9,MATCH(VLOOKUP(B31,M10:N18,2),B9:J9,1)))))</f>
        <v>180</v>
      </c>
    </row>
    <row r="32" spans="1:14" ht="14.4" x14ac:dyDescent="0.3">
      <c r="A32" s="7">
        <v>10104</v>
      </c>
      <c r="B32" s="12">
        <v>10106</v>
      </c>
      <c r="C32" s="44">
        <f ca="1">INDIRECT(ADDRESS(CELL("row",INDEX(A10:A18,MATCH(VLOOKUP(A32,M10:N18,2),A10:A18,1))),CELL("col",INDEX(B9:J9,MATCH(VLOOKUP(B32,M10:N18,2),B9:J9,1)))))</f>
        <v>60</v>
      </c>
    </row>
    <row r="33" spans="1:3" ht="14.4" x14ac:dyDescent="0.3">
      <c r="A33" s="7">
        <v>10110</v>
      </c>
      <c r="B33" s="12">
        <v>10112</v>
      </c>
      <c r="C33" s="44">
        <f ca="1">INDIRECT(ADDRESS(CELL("row",INDEX(A10:A18,MATCH(VLOOKUP(A33,M10:N18,2),A10:A18,1))),CELL("col",INDEX(B9:J9,MATCH(VLOOKUP(B33,M10:N18,2),B9:J9,1)))))</f>
        <v>115</v>
      </c>
    </row>
    <row r="34" spans="1:3" ht="14.4" x14ac:dyDescent="0.3">
      <c r="A34" s="7">
        <v>10100</v>
      </c>
      <c r="B34" s="12">
        <v>10114</v>
      </c>
      <c r="C34" s="44">
        <f ca="1">INDIRECT(ADDRESS(CELL("row",INDEX(A10:A18,MATCH(VLOOKUP(A34,M10:N18,2),A10:A18,1))),CELL("col",INDEX(B9:J9,MATCH(VLOOKUP(B34,M10:N18,2),B9:J9,1)))))</f>
        <v>480</v>
      </c>
    </row>
    <row r="35" spans="1:3" ht="14.4" x14ac:dyDescent="0.3">
      <c r="A35" s="9">
        <v>10112</v>
      </c>
      <c r="B35" s="13">
        <v>10116</v>
      </c>
      <c r="C35" s="44">
        <f ca="1">INDIRECT(ADDRESS(CELL("row",INDEX(A10:A18,MATCH(VLOOKUP(A35,M10:N18,2),A10:A18,1))),CELL("col",INDEX(B9:J9,MATCH(VLOOKUP(B35,M10:N18,2),B9:J9,1)))))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Rahul Raj</cp:lastModifiedBy>
  <dcterms:created xsi:type="dcterms:W3CDTF">2015-02-10T17:33:11Z</dcterms:created>
  <dcterms:modified xsi:type="dcterms:W3CDTF">2023-12-10T17:35:55Z</dcterms:modified>
</cp:coreProperties>
</file>